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avya\Documents\project\Cybersecurity\GRC_ANALYST\"/>
    </mc:Choice>
  </mc:AlternateContent>
  <xr:revisionPtr revIDLastSave="0" documentId="13_ncr:1_{2FB068E0-C44D-49E9-A238-6D9375E520D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cope &amp; Methodology" sheetId="1" r:id="rId1"/>
    <sheet name="Risk Register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P13" i="2"/>
  <c r="H13" i="2"/>
  <c r="P12" i="2"/>
  <c r="H12" i="2"/>
  <c r="P11" i="2"/>
  <c r="H11" i="2"/>
  <c r="P10" i="2"/>
  <c r="H10" i="2"/>
  <c r="P9" i="2"/>
  <c r="H9" i="2"/>
  <c r="P8" i="2"/>
  <c r="H8" i="2"/>
  <c r="P7" i="2"/>
  <c r="H7" i="2"/>
  <c r="P6" i="2"/>
  <c r="H6" i="2"/>
  <c r="P5" i="2"/>
  <c r="H5" i="2"/>
  <c r="P4" i="2"/>
  <c r="H4" i="2"/>
</calcChain>
</file>

<file path=xl/sharedStrings.xml><?xml version="1.0" encoding="utf-8"?>
<sst xmlns="http://schemas.openxmlformats.org/spreadsheetml/2006/main" count="147" uniqueCount="111">
  <si>
    <t>INFORMATION SECURITY RISK REGISTER</t>
  </si>
  <si>
    <t>DOCUMENT INFORMATION</t>
  </si>
  <si>
    <t>Organisation</t>
  </si>
  <si>
    <t>Document Title</t>
  </si>
  <si>
    <t>Information Security Risk Register</t>
  </si>
  <si>
    <t>Prepared By</t>
  </si>
  <si>
    <t>Date Prepared</t>
  </si>
  <si>
    <t>Standard Aligned To</t>
  </si>
  <si>
    <t>Review Frequency</t>
  </si>
  <si>
    <t>Annually, or following any significant change to the organisation's information assets, infrastructure, or threat landscape</t>
  </si>
  <si>
    <t>Document Version</t>
  </si>
  <si>
    <t>v1.0</t>
  </si>
  <si>
    <t>SCOPE</t>
  </si>
  <si>
    <t>Scope Statement</t>
  </si>
  <si>
    <t>This risk assessment covers all information assets owned or operated by Nexus Retail Pvt Ltd, including customer data, employee data, internal systems, third-party integrations, and physical devices. The scope encompasses the confidentiality, integrity, and availability of all information processed, stored, or transmitted by the organisation in the course of its retail and e-commerce operations.</t>
  </si>
  <si>
    <t>RISK ASSESSMENT METHODOLOGY</t>
  </si>
  <si>
    <t>Methodology</t>
  </si>
  <si>
    <t>Risk Formula</t>
  </si>
  <si>
    <t>CIA Triad Classification</t>
  </si>
  <si>
    <t>Each risk is categorised against the CIA Triad: Confidentiality (unauthorised access/disclosure), Integrity (unauthorised modification or corruption), or Availability (disruption of access or service).</t>
  </si>
  <si>
    <t>Risk Acceptance Criteria</t>
  </si>
  <si>
    <t>LOW (1–7): Risk accepted with no immediate action required, subject to annual review.
MEDIUM (8–14): Risk requires monitoring and a defined treatment plan within 90 days.
HIGH (15–25): Risk requires immediate treatment; owner accountable within 30 days.</t>
  </si>
  <si>
    <t>Risk Treatment Options</t>
  </si>
  <si>
    <t>Mitigate — Implement controls to reduce likelihood or impact.
Accept — Acknowledge the risk and monitor; no further action if within appetite.
Transfer — Shift financial or operational impact (e.g. cyber insurance, third-party SLA).
Avoid — Eliminate the risk by ceasing the activity or removing the asset.</t>
  </si>
  <si>
    <t>Residual Risk</t>
  </si>
  <si>
    <t>The risk score remaining after the recommended control is applied. Residual risk is re-scored on the same 5×5 matrix and must fall within the accepted threshold to close the risk.</t>
  </si>
  <si>
    <t>Risk Priority:    HIGH = Score 15–25  (Immediate treatment required)     MEDIUM = Score 8–14  (Treatment plan within 90 days)     LOW = Score 1–7  (Accepted, annual review)</t>
  </si>
  <si>
    <t>Information Asset</t>
  </si>
  <si>
    <t>Threat</t>
  </si>
  <si>
    <t>Vulnerability</t>
  </si>
  <si>
    <t>CIA Category</t>
  </si>
  <si>
    <t>Likelihood
(1–5)</t>
  </si>
  <si>
    <t>Impact
(1–5)</t>
  </si>
  <si>
    <t>Risk Score
(L × I)</t>
  </si>
  <si>
    <t>Priority</t>
  </si>
  <si>
    <t>Current Control</t>
  </si>
  <si>
    <t>Recommended Control</t>
  </si>
  <si>
    <t>Treatment
Decision</t>
  </si>
  <si>
    <t>Risk Owner</t>
  </si>
  <si>
    <t>Residual
Likelihood</t>
  </si>
  <si>
    <t>Residual
Impact</t>
  </si>
  <si>
    <t>Residual
Score</t>
  </si>
  <si>
    <t>Customer Database
(names, addresses, order history)</t>
  </si>
  <si>
    <t>Unauthorised external access / data breach</t>
  </si>
  <si>
    <t>No role-based access control; database directly accessible to all staff</t>
  </si>
  <si>
    <t>Confidentiality</t>
  </si>
  <si>
    <t>HIGH</t>
  </si>
  <si>
    <t>Username/password on database server; no further restrictions</t>
  </si>
  <si>
    <t>Implement RBAC; restrict DB access to application layer only; enforce least-privilege per role</t>
  </si>
  <si>
    <t>Mitigate</t>
  </si>
  <si>
    <t>IT Manager</t>
  </si>
  <si>
    <t>Data corruption via SQL injection or poor input validation</t>
  </si>
  <si>
    <t>No parameterised queries; user input passed directly to database</t>
  </si>
  <si>
    <t>Integrity</t>
  </si>
  <si>
    <t>MEDIUM</t>
  </si>
  <si>
    <t>None</t>
  </si>
  <si>
    <t>Enforce parameterised queries / prepared statements across all DB-facing code; conduct code review</t>
  </si>
  <si>
    <t>Employee Laptops
(company-issued devices)</t>
  </si>
  <si>
    <t>Theft or physical loss of device</t>
  </si>
  <si>
    <t>No full-disk encryption; sensitive data accessible if device is lost</t>
  </si>
  <si>
    <t>Enable full-disk encryption (BitLocker / FileVault) on all company devices; enforce screen-lock policy</t>
  </si>
  <si>
    <t>Operations Lead</t>
  </si>
  <si>
    <t>Malware infection via phishing email</t>
  </si>
  <si>
    <t>No endpoint protection; staff not trained on phishing identification</t>
  </si>
  <si>
    <t>Deploy endpoint protection software; conduct mandatory phishing awareness training bi-annually</t>
  </si>
  <si>
    <t>Company Email Accounts
(all staff)</t>
  </si>
  <si>
    <t>Account takeover via weak or reused passwords</t>
  </si>
  <si>
    <t>No MFA enforced; no password complexity policy in place</t>
  </si>
  <si>
    <t>Basic password login only</t>
  </si>
  <si>
    <t>Enforce MFA on all accounts; implement password policy (minimum length, complexity, no reuse)</t>
  </si>
  <si>
    <t>Payment Gateway Integration
(customer checkout)</t>
  </si>
  <si>
    <t>Man-in-the-middle attack intercepting transaction data</t>
  </si>
  <si>
    <t>TLS certificate not regularly verified; no penetration testing conducted</t>
  </si>
  <si>
    <t>HTTPS enabled</t>
  </si>
  <si>
    <t>Schedule annual penetration test; verify and renew TLS certificates; implement tokenisation for card data</t>
  </si>
  <si>
    <t>Transfer / Mitigate</t>
  </si>
  <si>
    <t>CEO</t>
  </si>
  <si>
    <t>Company Website
(public-facing e-commerce)</t>
  </si>
  <si>
    <t>DDoS attack causing service downtime</t>
  </si>
  <si>
    <t>No CDN or rate limiting; single-origin hosting with no redundancy</t>
  </si>
  <si>
    <t>Availability</t>
  </si>
  <si>
    <t>Implement CDN with DDoS mitigation (e.g. Cloudflare); set rate limiting on all endpoints</t>
  </si>
  <si>
    <t>Internal File Server
(contracts, HR, financials)</t>
  </si>
  <si>
    <t>Data loss due to hardware failure with no backup</t>
  </si>
  <si>
    <t>No automated backup policy; no offsite or cloud copy exists</t>
  </si>
  <si>
    <t>Implement automated daily backups with offsite/cloud copy; test restoration procedure quarterly</t>
  </si>
  <si>
    <t>Employee Access Credentials
(all systems)</t>
  </si>
  <si>
    <t>Unauthorised access via shared passwords between staff</t>
  </si>
  <si>
    <t>No policy prohibiting credential sharing; no access review process</t>
  </si>
  <si>
    <t>Enforce unique credentials per user; conduct quarterly access review; deploy password manager</t>
  </si>
  <si>
    <t>HR / IT Manager</t>
  </si>
  <si>
    <t>Admin Panel
(website backend)</t>
  </si>
  <si>
    <t>Brute-force login attack gaining admin access</t>
  </si>
  <si>
    <t>No rate limiting on login attempts; admin URL publicly accessible</t>
  </si>
  <si>
    <t>Username and password only</t>
  </si>
  <si>
    <t>Enforce rate limiting and account lockout after 5 failed attempts; restrict admin URL via IP allowlisting; add MFA</t>
  </si>
  <si>
    <t>RISK SUMMARY</t>
  </si>
  <si>
    <t>Total Risks Identified</t>
  </si>
  <si>
    <t>HIGH Priority Risks</t>
  </si>
  <si>
    <t>MEDIUM Priority Risks</t>
  </si>
  <si>
    <t>LOW Priority Risks</t>
  </si>
  <si>
    <t>All Risks — Treatment</t>
  </si>
  <si>
    <t>Mitigate (all 10 risks)</t>
  </si>
  <si>
    <t xml:space="preserve">Nexus Retail Pvt. Ltd. </t>
  </si>
  <si>
    <t>Nexus Retail Pvt. Ltd.</t>
  </si>
  <si>
    <t>Mr. Bhavya Damani</t>
  </si>
  <si>
    <t>ISO 27001 (Information Security Risk Assessment)</t>
  </si>
  <si>
    <t>Asset-based risk identification following ISO 27001. Each information asset is identified, relevant threats and vulnerabilities are assessed, and risk is quantified using a 5×5 likelihood-impact matrix.</t>
  </si>
  <si>
    <t>Risk Score = Likelihood (1–5) × Impact (1–5)  ;   Maximum possible score: 25</t>
  </si>
  <si>
    <t>INFORMATION SECURITY RISK REGISTER  —  Nexus Retail Pvt Ltd  |  ISO 27001  |  07 June 2026  |  Prepared by: Mr. Bhavya Damani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</si>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</sst>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Times New Roman"/>
      <charset val="1"/>
    </font>
    <font>
      <b/>
      <sz val="11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3"/>
      <color rgb="FFFFFFFF"/>
      <name val="Times New Roman"/>
      <charset val="1"/>
    </font>
    <font>
      <b/>
      <sz val="10"/>
      <color rgb="FFFFFFFF"/>
      <name val="Times New Roman"/>
      <charset val="1"/>
    </font>
    <font>
      <sz val="10"/>
      <color rgb="FF000000"/>
      <name val="Times New Roman"/>
      <charset val="1"/>
    </font>
    <font>
      <b/>
      <sz val="10"/>
      <color rgb="FF9C0006"/>
      <name val="Times New Roman"/>
      <charset val="1"/>
    </font>
    <font>
      <b/>
      <sz val="10"/>
      <color rgb="FF7D4600"/>
      <name val="Times New Roman"/>
      <charset val="1"/>
    </font>
    <font>
      <b/>
      <sz val="11"/>
      <color rgb="FFFFFFFF"/>
      <name val="Times New Roman"/>
      <charset val="1"/>
    </font>
    <font>
      <b/>
      <sz val="10"/>
      <color rgb="FF000000"/>
      <name val="Times New Roman"/>
      <charset val="1"/>
    </font>
    <font>
      <i/>
      <sz val="14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FFFFFF"/>
      <name val="Times New Roman"/>
      <family val="1"/>
    </font>
    <font>
      <b/>
      <sz val="10"/>
      <color rgb="FFFFFFFF"/>
      <name val="Times New Roman"/>
      <family val="1"/>
    </font>
    <font>
      <i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  <fill>
      <patternFill patternType="solid">
        <fgColor rgb="FFFFFFF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FFE4B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theme="3"/>
        <bgColor rgb="FF333333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rgb="FFBDD7E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6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/>
    </xf>
    <xf numFmtId="15" fontId="3" fillId="0" borderId="2" xfId="0" applyNumberFormat="1" applyFont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0" fillId="7" borderId="0" xfId="0" applyFill="1"/>
    <xf numFmtId="0" fontId="6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0" fillId="9" borderId="0" xfId="0" applyFill="1"/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/>
    <xf numFmtId="0" fontId="15" fillId="13" borderId="0" xfId="0" applyFont="1" applyFill="1" applyAlignment="1">
      <alignment horizontal="center" vertical="center"/>
    </xf>
    <xf numFmtId="0" fontId="0" fillId="14" borderId="0" xfId="0" applyFill="1"/>
    <xf numFmtId="0" fontId="14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4B5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D46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topLeftCell="A15" zoomScaleNormal="100" workbookViewId="0">
      <selection activeCell="B22" sqref="B22"/>
    </sheetView>
  </sheetViews>
  <sheetFormatPr defaultColWidth="8.6640625" defaultRowHeight="14.4" x14ac:dyDescent="0.3"/>
  <cols>
    <col min="1" max="1" width="30" customWidth="1"/>
    <col min="2" max="2" width="72" customWidth="1"/>
  </cols>
  <sheetData>
    <row r="1" spans="1:2" ht="36" customHeight="1" x14ac:dyDescent="0.3">
      <c r="A1" s="3" t="s">
        <v>0</v>
      </c>
      <c r="B1" s="3"/>
    </row>
    <row r="2" spans="1:2" ht="24" customHeight="1" x14ac:dyDescent="0.3">
      <c r="A2" s="9" t="s">
        <v>103</v>
      </c>
      <c r="B2" s="9"/>
    </row>
    <row r="3" spans="1:2" ht="9.75" customHeight="1" x14ac:dyDescent="0.3"/>
    <row r="4" spans="1:2" ht="21.75" customHeight="1" x14ac:dyDescent="0.3">
      <c r="A4" s="10" t="s">
        <v>1</v>
      </c>
      <c r="B4" s="10"/>
    </row>
    <row r="5" spans="1:2" ht="27.75" customHeight="1" x14ac:dyDescent="0.3">
      <c r="A5" s="4" t="s">
        <v>2</v>
      </c>
      <c r="B5" s="5" t="s">
        <v>104</v>
      </c>
    </row>
    <row r="6" spans="1:2" ht="27.75" customHeight="1" x14ac:dyDescent="0.3">
      <c r="A6" s="4" t="s">
        <v>3</v>
      </c>
      <c r="B6" s="5" t="s">
        <v>4</v>
      </c>
    </row>
    <row r="7" spans="1:2" ht="27.75" customHeight="1" x14ac:dyDescent="0.3">
      <c r="A7" s="4" t="s">
        <v>5</v>
      </c>
      <c r="B7" s="5" t="s">
        <v>105</v>
      </c>
    </row>
    <row r="8" spans="1:2" ht="27.75" customHeight="1" x14ac:dyDescent="0.3">
      <c r="A8" s="4" t="s">
        <v>6</v>
      </c>
      <c r="B8" s="8">
        <v>46180</v>
      </c>
    </row>
    <row r="9" spans="1:2" ht="27.75" customHeight="1" x14ac:dyDescent="0.3">
      <c r="A9" s="4" t="s">
        <v>7</v>
      </c>
      <c r="B9" s="5" t="s">
        <v>106</v>
      </c>
    </row>
    <row r="10" spans="1:2" ht="27.75" customHeight="1" x14ac:dyDescent="0.3">
      <c r="A10" s="4" t="s">
        <v>8</v>
      </c>
      <c r="B10" s="5" t="s">
        <v>9</v>
      </c>
    </row>
    <row r="11" spans="1:2" ht="27.75" customHeight="1" x14ac:dyDescent="0.3">
      <c r="A11" s="4" t="s">
        <v>10</v>
      </c>
      <c r="B11" s="5" t="s">
        <v>11</v>
      </c>
    </row>
    <row r="12" spans="1:2" ht="9.75" customHeight="1" x14ac:dyDescent="0.3"/>
    <row r="13" spans="1:2" ht="21.75" customHeight="1" x14ac:dyDescent="0.3">
      <c r="A13" s="10" t="s">
        <v>12</v>
      </c>
      <c r="B13" s="10"/>
    </row>
    <row r="14" spans="1:2" ht="75" customHeight="1" x14ac:dyDescent="0.3">
      <c r="A14" s="6" t="s">
        <v>13</v>
      </c>
      <c r="B14" s="5" t="s">
        <v>14</v>
      </c>
    </row>
    <row r="15" spans="1:2" ht="9.75" customHeight="1" x14ac:dyDescent="0.3"/>
    <row r="16" spans="1:2" ht="21.75" customHeight="1" x14ac:dyDescent="0.3">
      <c r="A16" s="10" t="s">
        <v>15</v>
      </c>
      <c r="B16" s="10"/>
    </row>
    <row r="17" spans="1:2" ht="51.75" customHeight="1" x14ac:dyDescent="0.3">
      <c r="A17" s="4" t="s">
        <v>16</v>
      </c>
      <c r="B17" s="5" t="s">
        <v>107</v>
      </c>
    </row>
    <row r="18" spans="1:2" ht="51.75" customHeight="1" x14ac:dyDescent="0.3">
      <c r="A18" s="4" t="s">
        <v>17</v>
      </c>
      <c r="B18" s="5" t="s">
        <v>108</v>
      </c>
    </row>
    <row r="19" spans="1:2" ht="51.75" customHeight="1" x14ac:dyDescent="0.3">
      <c r="A19" s="4" t="s">
        <v>18</v>
      </c>
      <c r="B19" s="5" t="s">
        <v>19</v>
      </c>
    </row>
    <row r="20" spans="1:2" ht="51.75" customHeight="1" x14ac:dyDescent="0.3">
      <c r="A20" s="4" t="s">
        <v>20</v>
      </c>
      <c r="B20" s="5" t="s">
        <v>21</v>
      </c>
    </row>
    <row r="21" spans="1:2" ht="60" customHeight="1" x14ac:dyDescent="0.3">
      <c r="A21" s="4" t="s">
        <v>22</v>
      </c>
      <c r="B21" s="5" t="s">
        <v>23</v>
      </c>
    </row>
    <row r="22" spans="1:2" ht="51.75" customHeight="1" x14ac:dyDescent="0.3">
      <c r="A22" s="4" t="s">
        <v>24</v>
      </c>
      <c r="B22" s="5" t="s">
        <v>25</v>
      </c>
    </row>
  </sheetData>
  <mergeCells count="5">
    <mergeCell ref="A1:B1"/>
    <mergeCell ref="A2:B2"/>
    <mergeCell ref="A4:B4"/>
    <mergeCell ref="A13:B13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showGridLines="0" tabSelected="1" topLeftCell="D1" zoomScaleNormal="100" workbookViewId="0">
      <pane ySplit="3" topLeftCell="A4" activePane="bottomLeft" state="frozen"/>
      <selection pane="bottomLeft" activeCell="A3" sqref="A3:XFD3"/>
    </sheetView>
  </sheetViews>
  <sheetFormatPr defaultColWidth="8.6640625" defaultRowHeight="14.4" x14ac:dyDescent="0.3"/>
  <cols>
    <col min="1" max="1" width="5" customWidth="1"/>
    <col min="2" max="2" width="22" customWidth="1"/>
    <col min="3" max="3" width="26" customWidth="1"/>
    <col min="4" max="4" width="22" customWidth="1"/>
    <col min="5" max="6" width="13" customWidth="1"/>
    <col min="7" max="7" width="11" customWidth="1"/>
    <col min="8" max="8" width="12" customWidth="1"/>
    <col min="9" max="9" width="10" customWidth="1"/>
    <col min="10" max="11" width="28" customWidth="1"/>
    <col min="12" max="12" width="14" customWidth="1"/>
    <col min="13" max="13" width="18" customWidth="1"/>
    <col min="14" max="15" width="13" customWidth="1"/>
    <col min="16" max="16" width="14" customWidth="1"/>
  </cols>
  <sheetData>
    <row r="1" spans="1:16" s="21" customFormat="1" ht="30" customHeight="1" x14ac:dyDescent="0.3">
      <c r="A1" s="19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s="23" customFormat="1" ht="18" customHeight="1" x14ac:dyDescent="0.3">
      <c r="A2" s="22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s="26" customFormat="1" ht="36" customHeight="1" x14ac:dyDescent="0.3">
      <c r="A3" s="24" t="s">
        <v>110</v>
      </c>
      <c r="B3" s="25" t="s">
        <v>27</v>
      </c>
      <c r="C3" s="25" t="s">
        <v>28</v>
      </c>
      <c r="D3" s="25" t="s">
        <v>29</v>
      </c>
      <c r="E3" s="25" t="s">
        <v>30</v>
      </c>
      <c r="F3" s="25" t="s">
        <v>31</v>
      </c>
      <c r="G3" s="25" t="s">
        <v>32</v>
      </c>
      <c r="H3" s="25" t="s">
        <v>33</v>
      </c>
      <c r="I3" s="25" t="s">
        <v>34</v>
      </c>
      <c r="J3" s="25" t="s">
        <v>35</v>
      </c>
      <c r="K3" s="25" t="s">
        <v>36</v>
      </c>
      <c r="L3" s="25" t="s">
        <v>37</v>
      </c>
      <c r="M3" s="25" t="s">
        <v>38</v>
      </c>
      <c r="N3" s="25" t="s">
        <v>39</v>
      </c>
      <c r="O3" s="25" t="s">
        <v>40</v>
      </c>
      <c r="P3" s="25" t="s">
        <v>41</v>
      </c>
    </row>
    <row r="4" spans="1:16" s="15" customFormat="1" ht="51.75" customHeight="1" x14ac:dyDescent="0.3">
      <c r="A4" s="12">
        <v>1</v>
      </c>
      <c r="B4" s="13" t="s">
        <v>42</v>
      </c>
      <c r="C4" s="13" t="s">
        <v>43</v>
      </c>
      <c r="D4" s="13" t="s">
        <v>44</v>
      </c>
      <c r="E4" s="12" t="s">
        <v>45</v>
      </c>
      <c r="F4" s="12">
        <v>3</v>
      </c>
      <c r="G4" s="12">
        <v>5</v>
      </c>
      <c r="H4" s="12">
        <f t="shared" ref="H4:H13" si="0">F4*G4</f>
        <v>15</v>
      </c>
      <c r="I4" s="14" t="s">
        <v>46</v>
      </c>
      <c r="J4" s="13" t="s">
        <v>47</v>
      </c>
      <c r="K4" s="13" t="s">
        <v>48</v>
      </c>
      <c r="L4" s="12" t="s">
        <v>49</v>
      </c>
      <c r="M4" s="13" t="s">
        <v>50</v>
      </c>
      <c r="N4" s="12">
        <v>1</v>
      </c>
      <c r="O4" s="12">
        <v>5</v>
      </c>
      <c r="P4" s="12">
        <f t="shared" ref="P4:P13" si="1">N4*O4</f>
        <v>5</v>
      </c>
    </row>
    <row r="5" spans="1:16" s="11" customFormat="1" ht="51.75" customHeight="1" x14ac:dyDescent="0.3">
      <c r="A5" s="16">
        <v>2</v>
      </c>
      <c r="B5" s="17" t="s">
        <v>42</v>
      </c>
      <c r="C5" s="17" t="s">
        <v>51</v>
      </c>
      <c r="D5" s="17" t="s">
        <v>52</v>
      </c>
      <c r="E5" s="16" t="s">
        <v>53</v>
      </c>
      <c r="F5" s="16">
        <v>3</v>
      </c>
      <c r="G5" s="16">
        <v>4</v>
      </c>
      <c r="H5" s="16">
        <f t="shared" si="0"/>
        <v>12</v>
      </c>
      <c r="I5" s="18" t="s">
        <v>54</v>
      </c>
      <c r="J5" s="17" t="s">
        <v>55</v>
      </c>
      <c r="K5" s="17" t="s">
        <v>56</v>
      </c>
      <c r="L5" s="16" t="s">
        <v>49</v>
      </c>
      <c r="M5" s="17" t="s">
        <v>50</v>
      </c>
      <c r="N5" s="16">
        <v>1</v>
      </c>
      <c r="O5" s="16">
        <v>4</v>
      </c>
      <c r="P5" s="16">
        <f t="shared" si="1"/>
        <v>4</v>
      </c>
    </row>
    <row r="6" spans="1:16" s="11" customFormat="1" ht="51.75" customHeight="1" x14ac:dyDescent="0.3">
      <c r="A6" s="16">
        <v>3</v>
      </c>
      <c r="B6" s="17" t="s">
        <v>57</v>
      </c>
      <c r="C6" s="17" t="s">
        <v>58</v>
      </c>
      <c r="D6" s="17" t="s">
        <v>59</v>
      </c>
      <c r="E6" s="16" t="s">
        <v>45</v>
      </c>
      <c r="F6" s="16">
        <v>3</v>
      </c>
      <c r="G6" s="16">
        <v>3</v>
      </c>
      <c r="H6" s="16">
        <f t="shared" si="0"/>
        <v>9</v>
      </c>
      <c r="I6" s="18" t="s">
        <v>54</v>
      </c>
      <c r="J6" s="17" t="s">
        <v>55</v>
      </c>
      <c r="K6" s="17" t="s">
        <v>60</v>
      </c>
      <c r="L6" s="16" t="s">
        <v>49</v>
      </c>
      <c r="M6" s="17" t="s">
        <v>61</v>
      </c>
      <c r="N6" s="16">
        <v>1</v>
      </c>
      <c r="O6" s="16">
        <v>2</v>
      </c>
      <c r="P6" s="16">
        <f t="shared" si="1"/>
        <v>2</v>
      </c>
    </row>
    <row r="7" spans="1:16" s="15" customFormat="1" ht="51.75" customHeight="1" x14ac:dyDescent="0.3">
      <c r="A7" s="12">
        <v>4</v>
      </c>
      <c r="B7" s="13" t="s">
        <v>57</v>
      </c>
      <c r="C7" s="13" t="s">
        <v>62</v>
      </c>
      <c r="D7" s="13" t="s">
        <v>63</v>
      </c>
      <c r="E7" s="12" t="s">
        <v>53</v>
      </c>
      <c r="F7" s="12">
        <v>4</v>
      </c>
      <c r="G7" s="12">
        <v>4</v>
      </c>
      <c r="H7" s="12">
        <f t="shared" si="0"/>
        <v>16</v>
      </c>
      <c r="I7" s="14" t="s">
        <v>46</v>
      </c>
      <c r="J7" s="13" t="s">
        <v>55</v>
      </c>
      <c r="K7" s="13" t="s">
        <v>64</v>
      </c>
      <c r="L7" s="12" t="s">
        <v>49</v>
      </c>
      <c r="M7" s="13" t="s">
        <v>50</v>
      </c>
      <c r="N7" s="12">
        <v>2</v>
      </c>
      <c r="O7" s="12">
        <v>3</v>
      </c>
      <c r="P7" s="12">
        <f t="shared" si="1"/>
        <v>6</v>
      </c>
    </row>
    <row r="8" spans="1:16" s="11" customFormat="1" ht="51.75" customHeight="1" x14ac:dyDescent="0.3">
      <c r="A8" s="16">
        <v>5</v>
      </c>
      <c r="B8" s="17" t="s">
        <v>65</v>
      </c>
      <c r="C8" s="17" t="s">
        <v>66</v>
      </c>
      <c r="D8" s="17" t="s">
        <v>67</v>
      </c>
      <c r="E8" s="16" t="s">
        <v>45</v>
      </c>
      <c r="F8" s="16">
        <v>4</v>
      </c>
      <c r="G8" s="16">
        <v>3</v>
      </c>
      <c r="H8" s="16">
        <f t="shared" si="0"/>
        <v>12</v>
      </c>
      <c r="I8" s="18" t="s">
        <v>54</v>
      </c>
      <c r="J8" s="17" t="s">
        <v>68</v>
      </c>
      <c r="K8" s="17" t="s">
        <v>69</v>
      </c>
      <c r="L8" s="16" t="s">
        <v>49</v>
      </c>
      <c r="M8" s="17" t="s">
        <v>50</v>
      </c>
      <c r="N8" s="16">
        <v>1</v>
      </c>
      <c r="O8" s="16">
        <v>3</v>
      </c>
      <c r="P8" s="16">
        <f t="shared" si="1"/>
        <v>3</v>
      </c>
    </row>
    <row r="9" spans="1:16" s="11" customFormat="1" ht="51.75" customHeight="1" x14ac:dyDescent="0.3">
      <c r="A9" s="16">
        <v>6</v>
      </c>
      <c r="B9" s="17" t="s">
        <v>70</v>
      </c>
      <c r="C9" s="17" t="s">
        <v>71</v>
      </c>
      <c r="D9" s="17" t="s">
        <v>72</v>
      </c>
      <c r="E9" s="16" t="s">
        <v>45</v>
      </c>
      <c r="F9" s="16">
        <v>2</v>
      </c>
      <c r="G9" s="16">
        <v>5</v>
      </c>
      <c r="H9" s="16">
        <f t="shared" si="0"/>
        <v>10</v>
      </c>
      <c r="I9" s="18" t="s">
        <v>54</v>
      </c>
      <c r="J9" s="17" t="s">
        <v>73</v>
      </c>
      <c r="K9" s="17" t="s">
        <v>74</v>
      </c>
      <c r="L9" s="16" t="s">
        <v>75</v>
      </c>
      <c r="M9" s="17" t="s">
        <v>76</v>
      </c>
      <c r="N9" s="16">
        <v>1</v>
      </c>
      <c r="O9" s="16">
        <v>4</v>
      </c>
      <c r="P9" s="16">
        <f t="shared" si="1"/>
        <v>4</v>
      </c>
    </row>
    <row r="10" spans="1:16" s="11" customFormat="1" ht="51.75" customHeight="1" x14ac:dyDescent="0.3">
      <c r="A10" s="16">
        <v>7</v>
      </c>
      <c r="B10" s="17" t="s">
        <v>77</v>
      </c>
      <c r="C10" s="17" t="s">
        <v>78</v>
      </c>
      <c r="D10" s="17" t="s">
        <v>79</v>
      </c>
      <c r="E10" s="16" t="s">
        <v>80</v>
      </c>
      <c r="F10" s="16">
        <v>3</v>
      </c>
      <c r="G10" s="16">
        <v>4</v>
      </c>
      <c r="H10" s="16">
        <f t="shared" si="0"/>
        <v>12</v>
      </c>
      <c r="I10" s="18" t="s">
        <v>54</v>
      </c>
      <c r="J10" s="17" t="s">
        <v>55</v>
      </c>
      <c r="K10" s="17" t="s">
        <v>81</v>
      </c>
      <c r="L10" s="16" t="s">
        <v>49</v>
      </c>
      <c r="M10" s="17" t="s">
        <v>50</v>
      </c>
      <c r="N10" s="16">
        <v>1</v>
      </c>
      <c r="O10" s="16">
        <v>3</v>
      </c>
      <c r="P10" s="16">
        <f t="shared" si="1"/>
        <v>3</v>
      </c>
    </row>
    <row r="11" spans="1:16" s="15" customFormat="1" ht="51.75" customHeight="1" x14ac:dyDescent="0.3">
      <c r="A11" s="12">
        <v>8</v>
      </c>
      <c r="B11" s="13" t="s">
        <v>82</v>
      </c>
      <c r="C11" s="13" t="s">
        <v>83</v>
      </c>
      <c r="D11" s="13" t="s">
        <v>84</v>
      </c>
      <c r="E11" s="12" t="s">
        <v>80</v>
      </c>
      <c r="F11" s="12">
        <v>3</v>
      </c>
      <c r="G11" s="12">
        <v>5</v>
      </c>
      <c r="H11" s="12">
        <f t="shared" si="0"/>
        <v>15</v>
      </c>
      <c r="I11" s="14" t="s">
        <v>46</v>
      </c>
      <c r="J11" s="13" t="s">
        <v>55</v>
      </c>
      <c r="K11" s="13" t="s">
        <v>85</v>
      </c>
      <c r="L11" s="12" t="s">
        <v>49</v>
      </c>
      <c r="M11" s="13" t="s">
        <v>61</v>
      </c>
      <c r="N11" s="12">
        <v>1</v>
      </c>
      <c r="O11" s="12">
        <v>3</v>
      </c>
      <c r="P11" s="12">
        <f t="shared" si="1"/>
        <v>3</v>
      </c>
    </row>
    <row r="12" spans="1:16" s="15" customFormat="1" ht="51.75" customHeight="1" x14ac:dyDescent="0.3">
      <c r="A12" s="12">
        <v>9</v>
      </c>
      <c r="B12" s="13" t="s">
        <v>86</v>
      </c>
      <c r="C12" s="13" t="s">
        <v>87</v>
      </c>
      <c r="D12" s="13" t="s">
        <v>88</v>
      </c>
      <c r="E12" s="12" t="s">
        <v>45</v>
      </c>
      <c r="F12" s="12">
        <v>4</v>
      </c>
      <c r="G12" s="12">
        <v>4</v>
      </c>
      <c r="H12" s="12">
        <f t="shared" si="0"/>
        <v>16</v>
      </c>
      <c r="I12" s="14" t="s">
        <v>46</v>
      </c>
      <c r="J12" s="13" t="s">
        <v>55</v>
      </c>
      <c r="K12" s="13" t="s">
        <v>89</v>
      </c>
      <c r="L12" s="12" t="s">
        <v>49</v>
      </c>
      <c r="M12" s="13" t="s">
        <v>90</v>
      </c>
      <c r="N12" s="12">
        <v>1</v>
      </c>
      <c r="O12" s="12">
        <v>3</v>
      </c>
      <c r="P12" s="12">
        <f t="shared" si="1"/>
        <v>3</v>
      </c>
    </row>
    <row r="13" spans="1:16" s="11" customFormat="1" ht="51.75" customHeight="1" x14ac:dyDescent="0.3">
      <c r="A13" s="16">
        <v>10</v>
      </c>
      <c r="B13" s="17" t="s">
        <v>91</v>
      </c>
      <c r="C13" s="17" t="s">
        <v>92</v>
      </c>
      <c r="D13" s="17" t="s">
        <v>93</v>
      </c>
      <c r="E13" s="16" t="s">
        <v>53</v>
      </c>
      <c r="F13" s="16">
        <v>3</v>
      </c>
      <c r="G13" s="16">
        <v>4</v>
      </c>
      <c r="H13" s="16">
        <f t="shared" si="0"/>
        <v>12</v>
      </c>
      <c r="I13" s="18" t="s">
        <v>54</v>
      </c>
      <c r="J13" s="17" t="s">
        <v>94</v>
      </c>
      <c r="K13" s="17" t="s">
        <v>95</v>
      </c>
      <c r="L13" s="16" t="s">
        <v>49</v>
      </c>
      <c r="M13" s="17" t="s">
        <v>50</v>
      </c>
      <c r="N13" s="16">
        <v>1</v>
      </c>
      <c r="O13" s="16">
        <v>3</v>
      </c>
      <c r="P13" s="16">
        <f t="shared" si="1"/>
        <v>3</v>
      </c>
    </row>
    <row r="14" spans="1:16" ht="12" customHeight="1" x14ac:dyDescent="0.3"/>
    <row r="15" spans="1:16" ht="21.75" customHeight="1" x14ac:dyDescent="0.3">
      <c r="A15" s="2" t="s">
        <v>96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9.5" customHeight="1" x14ac:dyDescent="0.3">
      <c r="A16" s="7" t="s">
        <v>97</v>
      </c>
      <c r="B16" s="1">
        <f>COUNTA(A4:A13)</f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9.5" customHeight="1" x14ac:dyDescent="0.3">
      <c r="A17" s="7" t="s">
        <v>98</v>
      </c>
      <c r="B17" s="1">
        <f>COUNTIF(I4:I13,"HIGH")</f>
        <v>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9.5" customHeight="1" x14ac:dyDescent="0.3">
      <c r="A18" s="7" t="s">
        <v>99</v>
      </c>
      <c r="B18" s="1">
        <f>COUNTIF(I4:I13,"MEDIUM")</f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9.5" customHeight="1" x14ac:dyDescent="0.3">
      <c r="A19" s="7" t="s">
        <v>100</v>
      </c>
      <c r="B19" s="1">
        <f>COUNTIF(I4:I13,"LOW")</f>
        <v>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9.5" customHeight="1" x14ac:dyDescent="0.3">
      <c r="A20" s="7" t="s">
        <v>101</v>
      </c>
      <c r="B20" s="1" t="s">
        <v>102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mergeCells count="8">
    <mergeCell ref="B18:P18"/>
    <mergeCell ref="B19:P19"/>
    <mergeCell ref="B20:P20"/>
    <mergeCell ref="A1:P1"/>
    <mergeCell ref="A2:P2"/>
    <mergeCell ref="A15:P15"/>
    <mergeCell ref="B16:P16"/>
    <mergeCell ref="B17:P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 &amp; Methodology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Bhavya Damani</cp:lastModifiedBy>
  <cp:revision>0</cp:revision>
  <dcterms:created xsi:type="dcterms:W3CDTF">2026-06-08T13:35:53Z</dcterms:created>
  <dcterms:modified xsi:type="dcterms:W3CDTF">2026-06-10T18:57:34Z</dcterms:modified>
  <dc:language>en-US</dc:language>
</cp:coreProperties>
</file>